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診リスト" sheetId="1" state="visible" r:id="rId1"/>
    <sheet xmlns:r="http://schemas.openxmlformats.org/officeDocument/2006/relationships" name="進捗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0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30" customWidth="1" min="4" max="4"/>
    <col width="10" customWidth="1" min="5" max="5"/>
    <col width="26" customWidth="1" min="6" max="6"/>
    <col width="12" customWidth="1" min="7" max="7"/>
    <col width="12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打診リスト — サイバードッグ診断 Phase 2（無償診断10件の打診管理）</t>
        </is>
      </c>
    </row>
    <row r="2">
      <c r="A2" s="2" t="inlineStr">
        <is>
          <t>使い方：黄色のセルに実際の情報を入力してください。1行目は入力例（削除してOK）。ステータスはプルダウンで選択。</t>
        </is>
      </c>
    </row>
    <row r="4">
      <c r="A4" s="3" t="inlineStr">
        <is>
          <t>No.</t>
        </is>
      </c>
      <c r="B4" s="3" t="inlineStr">
        <is>
          <t>名前・会社名</t>
        </is>
      </c>
      <c r="C4" s="3" t="inlineStr">
        <is>
          <t>属性</t>
        </is>
      </c>
      <c r="D4" s="3" t="inlineStr">
        <is>
          <t>サイトURL</t>
        </is>
      </c>
      <c r="E4" s="3" t="inlineStr">
        <is>
          <t>連絡手段</t>
        </is>
      </c>
      <c r="F4" s="3" t="inlineStr">
        <is>
          <t>関係性メモ</t>
        </is>
      </c>
      <c r="G4" s="3" t="inlineStr">
        <is>
          <t>打診日</t>
        </is>
      </c>
      <c r="H4" s="3" t="inlineStr">
        <is>
          <t>返信状況</t>
        </is>
      </c>
      <c r="I4" s="3" t="inlineStr">
        <is>
          <t>診断実施日</t>
        </is>
      </c>
      <c r="J4" s="3" t="inlineStr">
        <is>
          <t>報告書納品日</t>
        </is>
      </c>
      <c r="K4" s="3" t="inlineStr">
        <is>
          <t>有償化ステータス</t>
        </is>
      </c>
    </row>
    <row r="5">
      <c r="A5" s="4" t="n">
        <v>1</v>
      </c>
      <c r="B5" s="4" t="inlineStr">
        <is>
          <t>山田太郎（山田工務店）</t>
        </is>
      </c>
      <c r="C5" s="4" t="inlineStr">
        <is>
          <t>知人経営者</t>
        </is>
      </c>
      <c r="D5" s="4" t="inlineStr">
        <is>
          <t>https://yamada-koumuten.example.com</t>
        </is>
      </c>
      <c r="E5" s="4" t="inlineStr">
        <is>
          <t>LINE</t>
        </is>
      </c>
      <c r="F5" s="4" t="inlineStr">
        <is>
          <t>大学時代の友人。名刺交換済み</t>
        </is>
      </c>
      <c r="G5" s="4" t="inlineStr">
        <is>
          <t>2026-07-15</t>
        </is>
      </c>
      <c r="H5" s="4" t="inlineStr">
        <is>
          <t>未打診</t>
        </is>
      </c>
      <c r="I5" s="4" t="inlineStr"/>
      <c r="J5" s="4" t="inlineStr"/>
      <c r="K5" s="4" t="inlineStr">
        <is>
          <t>未着手</t>
        </is>
      </c>
    </row>
    <row r="6">
      <c r="A6" s="5" t="n">
        <v>2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n">
        <v>3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>
        <v>4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>
        <v>5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>
        <v>6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>
        <v>7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>
        <v>8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>
        <v>9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>
        <v>10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>
        <v>11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</sheetData>
  <mergeCells count="2">
    <mergeCell ref="A2:K2"/>
    <mergeCell ref="A1:K1"/>
  </mergeCells>
  <dataValidations count="4">
    <dataValidation sqref="C5:C15" showDropDown="0" showInputMessage="0" showErrorMessage="0" allowBlank="1" type="list">
      <formula1>"知人経営者,過去クライアント,SNS接点,商工会議所・交流会,その他"</formula1>
    </dataValidation>
    <dataValidation sqref="E5:E15" showDropDown="0" showInputMessage="0" showErrorMessage="0" allowBlank="1" type="list">
      <formula1>"LINE,DM,メール,対面"</formula1>
    </dataValidation>
    <dataValidation sqref="H5:H15" showDropDown="0" showInputMessage="0" showErrorMessage="0" allowBlank="1" type="list">
      <formula1>"未打診,打診済み・返信待ち,承諾,辞退,無反応"</formula1>
    </dataValidation>
    <dataValidation sqref="K5:K15" showDropDown="0" showInputMessage="0" showErrorMessage="0" allowBlank="1" type="list">
      <formula1>"未着手,診断完了,有償提案中,成約,見送り"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進捗サマリー</t>
        </is>
      </c>
    </row>
    <row r="3">
      <c r="A3" s="7" t="inlineStr">
        <is>
          <t>打診済み件数</t>
        </is>
      </c>
      <c r="B3" s="8">
        <f>COUNTIF(打診リスト!H6:H15,"打診済み・返信待ち")+COUNTIF(打診リスト!H6:H15,"承諾")+COUNTIF(打診リスト!H6:H15,"辞退")+COUNTIF(打診リスト!H6:H15,"無反応")</f>
        <v/>
      </c>
    </row>
    <row r="4">
      <c r="A4" s="7" t="inlineStr">
        <is>
          <t>承諾件数</t>
        </is>
      </c>
      <c r="B4" s="8">
        <f>COUNTIF(打診リスト!H6:H15,"承諾")</f>
        <v/>
      </c>
    </row>
    <row r="5">
      <c r="A5" s="7" t="inlineStr">
        <is>
          <t>診断完了件数</t>
        </is>
      </c>
      <c r="B5" s="8">
        <f>COUNTIF(打診リスト!K6:K15,"診断完了")+COUNTIF(打診リスト!K6:K15,"有償提案中")+COUNTIF(打診リスト!K6:K15,"成約")+COUNTIF(打診リスト!K6:K15,"見送り")</f>
        <v/>
      </c>
    </row>
    <row r="6">
      <c r="A6" s="7" t="inlineStr">
        <is>
          <t>有償成約件数</t>
        </is>
      </c>
      <c r="B6" s="8">
        <f>COUNTIF(打診リスト!K6:K15,"成約")</f>
        <v/>
      </c>
    </row>
    <row r="7">
      <c r="A7" s="7" t="inlineStr">
        <is>
          <t>目標（無償診断）</t>
        </is>
      </c>
      <c r="B7" s="8" t="n">
        <v>10</v>
      </c>
    </row>
    <row r="8">
      <c r="A8" s="7" t="inlineStr">
        <is>
          <t>目標（有償転換）</t>
        </is>
      </c>
      <c r="B8" s="8" t="n">
        <v>1</v>
      </c>
    </row>
    <row r="11">
      <c r="A11" s="8" t="inlineStr">
        <is>
          <t>同意テンプレ（打診時にそのまま使えます）</t>
        </is>
      </c>
    </row>
    <row r="12" ht="30" customHeight="1">
      <c r="A12" s="9" t="inlineStr">
        <is>
          <t>無料で御社サイトのセキュリティを採点します。実施してよろしいですか？（サイバードッグ診断・非侵入型の実測診断です）</t>
        </is>
      </c>
    </row>
  </sheetData>
  <mergeCells count="1"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2026-07-11T18:38:00Z</dcterms:created>
  <dcterms:modified xmlns:dcterms="http://purl.org/dc/terms/" xmlns:xsi="http://www.w3.org/2001/XMLSchema-instance" xsi:type="dcterms:W3CDTF">2026-07-11T18:38:00Z</dcterms:modified>
</cp:coreProperties>
</file>